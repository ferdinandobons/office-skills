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Data" sheetId="5" state="visible" r:id="rId5"/>
  </sheets>
  <definedNames>
    <definedName name="client_name">'Cover'!$B$4</definedName>
    <definedName name="data_block">'Data'!$A$2:$D$4</definedName>
    <definedName name="headline_kpi">'Summary'!$B$9</definedName>
    <definedName name="inputs_block">'Inputs'!$A$4:$C$7</definedName>
    <definedName name="model_body">'Model'!$A$4:$G$6</definedName>
    <definedName name="period">'Cover'!$B$5</definedName>
    <definedName name="report_subtitle">'Cover'!$A$2</definedName>
    <definedName name="report_title">'Cover'!$A$1</definedName>
    <definedName name="_xlnm.Print_Area" localSheetId="0">'Cover'!$A$1:$E$9</definedName>
    <definedName name="_xlnm.Print_Area" localSheetId="2">'Model'!$A$1:$G$27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_($* #,##0.00_);_($* (#,##0.00);_($* &quot;-&quot;??_);_(@_)"/>
    <numFmt numFmtId="165" formatCode="0.0%"/>
    <numFmt numFmtId="166" formatCode="yyyy-mm-dd"/>
    <numFmt numFmtId="167" formatCode="_($* #,##0_);_($* (#,##0);_($* &quot;-&quot;_);_(@_)"/>
  </numFmts>
  <fonts count="8">
    <font>
      <name val="Calibri"/>
      <family val="2"/>
      <color theme="1"/>
      <sz val="11"/>
      <scheme val="minor"/>
    </font>
    <font>
      <name val="Arial"/>
      <b val="1"/>
      <color rgb="FF16213F"/>
      <sz val="20"/>
    </font>
    <font>
      <name val="Arial"/>
      <b val="1"/>
      <color rgb="FFFFFFFF"/>
      <sz val="11"/>
    </font>
    <font>
      <name val="Calibri"/>
      <color rgb="FF16213F"/>
      <sz val="11"/>
    </font>
    <font>
      <name val="Calibri"/>
      <color rgb="FF2B7CD3"/>
      <sz val="11"/>
    </font>
    <font>
      <name val="Arial"/>
      <b val="1"/>
      <color rgb="FFFFFFFF"/>
      <sz val="20"/>
    </font>
    <font>
      <name val="Arial"/>
      <i val="1"/>
      <color rgb="FF2B7CD3"/>
      <sz val="12"/>
    </font>
    <font>
      <name val="Arial"/>
      <b val="1"/>
      <color rgb="FF16213F"/>
      <sz val="14"/>
    </font>
  </fonts>
  <fills count="4">
    <fill>
      <patternFill/>
    </fill>
    <fill>
      <patternFill patternType="gray125"/>
    </fill>
    <fill>
      <patternFill patternType="solid">
        <fgColor rgb="FF16213F"/>
      </patternFill>
    </fill>
    <fill>
      <patternFill patternType="solid">
        <fgColor rgb="FFEAF1FF"/>
      </patternFill>
    </fill>
  </fills>
  <borders count="3">
    <border>
      <left/>
      <right/>
      <top/>
      <bottom/>
      <diagonal/>
    </border>
    <border/>
    <border>
      <left style="thin">
        <color rgb="FF16213F"/>
      </left>
      <right style="thin">
        <color rgb="FF16213F"/>
      </right>
      <top style="thin">
        <color rgb="FF16213F"/>
      </top>
      <bottom style="thin">
        <color rgb="FF16213F"/>
      </bottom>
    </border>
  </borders>
  <cellStyleXfs count="6">
    <xf numFmtId="0" fontId="0" fillId="0" borderId="0"/>
    <xf numFmtId="0" fontId="1" fillId="0" borderId="1" applyAlignment="1">
      <alignment horizontal="center" vertical="center"/>
    </xf>
    <xf numFmtId="0" fontId="2" fillId="2" borderId="2" applyAlignment="1">
      <alignment horizontal="center" vertical="center"/>
    </xf>
    <xf numFmtId="164" fontId="3" fillId="0" borderId="2"/>
    <xf numFmtId="165" fontId="4" fillId="0" borderId="2"/>
    <xf numFmtId="0" fontId="3" fillId="3" borderId="2"/>
  </cellStyleXfs>
  <cellXfs count="14">
    <xf numFmtId="0" fontId="0" fillId="0" borderId="0" pivotButton="0" quotePrefix="0" xfId="0"/>
    <xf numFmtId="0" fontId="5" fillId="2" borderId="1" applyAlignment="1" pivotButton="0" quotePrefix="0" xfId="1">
      <alignment horizontal="center" vertical="center"/>
    </xf>
    <xf numFmtId="0" fontId="6" fillId="0" borderId="0" applyAlignment="1" pivotButton="0" quotePrefix="0" xfId="0">
      <alignment horizontal="center"/>
    </xf>
    <xf numFmtId="166" fontId="0" fillId="0" borderId="0" pivotButton="0" quotePrefix="0" xfId="0"/>
    <xf numFmtId="0" fontId="0" fillId="2" borderId="0" pivotButton="0" quotePrefix="0" xfId="0"/>
    <xf numFmtId="0" fontId="7" fillId="0" borderId="0" pivotButton="0" quotePrefix="0" xfId="0"/>
    <xf numFmtId="0" fontId="2" fillId="2" borderId="2" applyAlignment="1" pivotButton="0" quotePrefix="0" xfId="2">
      <alignment horizontal="center" vertical="center"/>
    </xf>
    <xf numFmtId="0" fontId="3" fillId="3" borderId="2" pivotButton="0" quotePrefix="0" xfId="5"/>
    <xf numFmtId="3" fontId="3" fillId="3" borderId="2" pivotButton="0" quotePrefix="0" xfId="5"/>
    <xf numFmtId="164" fontId="3" fillId="0" borderId="2" pivotButton="0" quotePrefix="0" xfId="3"/>
    <xf numFmtId="165" fontId="4" fillId="0" borderId="2" pivotButton="0" quotePrefix="0" xfId="4"/>
    <xf numFmtId="3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6">
    <cellStyle name="Normal" xfId="0" builtinId="0" hidden="0"/>
    <cellStyle name="BrandDocsTitle" xfId="1" hidden="0"/>
    <cellStyle name="BrandDocsHeader" xfId="2" hidden="0"/>
    <cellStyle name="BrandDocsCurrency" xfId="3" hidden="0"/>
    <cellStyle name="BrandDocsPercent" xfId="4" hidden="0"/>
    <cellStyle name="BrandDocsInput" xfId="5" hidden="0"/>
  </cellStyles>
  <dxfs count="2">
    <dxf>
      <fill>
        <patternFill patternType="solid">
          <fgColor rgb="FFE0742B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net revenue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B7CD3"/>
            </a:solidFill>
            <a:ln xmlns:a="http://schemas.openxmlformats.org/drawingml/2006/main">
              <a:prstDash val="solid"/>
            </a:ln>
          </spPr>
          <cat>
            <numRef>
              <f>'Model'!$B$3:$E$3</f>
            </numRef>
          </cat>
          <val>
            <numRef>
              <f>'Model'!$B$7:$E$7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revenue trend (Q1-Q4)</a:t>
            </a:r>
          </a:p>
        </rich>
      </tx>
    </title>
    <plotArea>
      <lineChart>
        <grouping val="standard"/>
        <ser>
          <idx val="0"/>
          <order val="0"/>
          <tx>
            <v>Net revenue</v>
          </tx>
          <spPr>
            <a:ln xmlns:a="http://schemas.openxmlformats.org/drawingml/2006/main" w="28000">
              <a:solidFill>
                <a:srgbClr val="E0742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'Model'!$B$3:$E$3</f>
            </numRef>
          </cat>
          <val>
            <numRef>
              <f>'Model'!$B$7:$E$7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10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10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BrandDocsDataTbl" displayName="BrandDocsDataTbl" ref="A3:G7" headerRowCount="1">
  <autoFilter ref="A3:G7"/>
  <tableColumns count="7">
    <tableColumn id="1" name="Line item"/>
    <tableColumn id="2" name="Q1"/>
    <tableColumn id="3" name="Q2"/>
    <tableColumn id="4" name="Q3"/>
    <tableColumn id="5" name="Q4"/>
    <tableColumn id="6" name="FY Total"/>
    <tableColumn id="7" name="% of F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 ht="30" customHeight="1">
      <c r="A1" s="1" t="inlineStr">
        <is>
          <t>FY2025 Revenue Performance Review</t>
        </is>
      </c>
    </row>
    <row r="2">
      <c r="A2" s="2" t="inlineStr">
        <is>
          <t>Quarterly revenue model and executive summary</t>
        </is>
      </c>
    </row>
    <row r="4">
      <c r="A4" t="inlineStr">
        <is>
          <t>Prepared for</t>
        </is>
      </c>
      <c r="B4" t="inlineStr">
        <is>
          <t>BrandDocs Corp (synthetic demo)</t>
        </is>
      </c>
    </row>
    <row r="5">
      <c r="A5" t="inlineStr">
        <is>
          <t>Reporting period</t>
        </is>
      </c>
      <c r="B5" t="inlineStr">
        <is>
          <t>FY2025 (Q1-Q4)</t>
        </is>
      </c>
    </row>
    <row r="6">
      <c r="A6" t="inlineStr">
        <is>
          <t>Generated on</t>
        </is>
      </c>
      <c r="B6" s="3" t="inlineStr">
        <is>
          <t>2026-01-15</t>
        </is>
      </c>
    </row>
    <row r="8" ht="24" customHeight="1">
      <c r="A8" s="4" t="n"/>
      <c r="B8" s="4" t="n"/>
      <c r="C8" s="4" t="n"/>
      <c r="D8" s="4" t="n"/>
      <c r="E8" s="4" t="n"/>
    </row>
  </sheetData>
  <mergeCells count="3">
    <mergeCell ref="A2:E2"/>
    <mergeCell ref="A1:E1"/>
    <mergeCell ref="A8:E8"/>
  </mergeCells>
  <pageMargins left="0.75" right="0.75" top="1" bottom="1" header="0.5" footer="0.5"/>
  <pageSetup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5" t="inlineStr">
        <is>
          <t>Model Inputs</t>
        </is>
      </c>
    </row>
    <row r="3">
      <c r="A3" s="6" t="inlineStr">
        <is>
          <t>Driver</t>
        </is>
      </c>
      <c r="B3" s="6" t="inlineStr">
        <is>
          <t>Value</t>
        </is>
      </c>
      <c r="C3" s="6" t="inlineStr">
        <is>
          <t>Unit</t>
        </is>
      </c>
    </row>
    <row r="4">
      <c r="A4" s="7" t="inlineStr">
        <is>
          <t>Units sold</t>
        </is>
      </c>
      <c r="B4" s="8" t="n">
        <v>29070</v>
      </c>
      <c r="C4" s="7" t="inlineStr">
        <is>
          <t>ea</t>
        </is>
      </c>
    </row>
    <row r="5">
      <c r="A5" s="7" t="inlineStr">
        <is>
          <t>Unit price</t>
        </is>
      </c>
      <c r="B5" s="9" t="n">
        <v>50</v>
      </c>
      <c r="C5" s="7" t="inlineStr">
        <is>
          <t>USD</t>
        </is>
      </c>
    </row>
    <row r="6">
      <c r="A6" s="7" t="inlineStr">
        <is>
          <t>Discount rate</t>
        </is>
      </c>
      <c r="B6" s="10" t="n">
        <v>0.12</v>
      </c>
      <c r="C6" s="7" t="inlineStr">
        <is>
          <t>pct</t>
        </is>
      </c>
    </row>
    <row r="7">
      <c r="A7" s="7" t="inlineStr">
        <is>
          <t>Tax rate</t>
        </is>
      </c>
      <c r="B7" s="10" t="n">
        <v>0.22</v>
      </c>
      <c r="C7" s="7" t="inlineStr">
        <is>
          <t>pct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5" t="inlineStr">
        <is>
          <t>Revenue Model</t>
        </is>
      </c>
    </row>
    <row r="3">
      <c r="A3" s="6" t="inlineStr">
        <is>
          <t>Line item</t>
        </is>
      </c>
      <c r="B3" s="6" t="inlineStr">
        <is>
          <t>Q1</t>
        </is>
      </c>
      <c r="C3" s="6" t="inlineStr">
        <is>
          <t>Q2</t>
        </is>
      </c>
      <c r="D3" s="6" t="inlineStr">
        <is>
          <t>Q3</t>
        </is>
      </c>
      <c r="E3" s="6" t="inlineStr">
        <is>
          <t>Q4</t>
        </is>
      </c>
      <c r="F3" s="6" t="inlineStr">
        <is>
          <t>FY Total</t>
        </is>
      </c>
      <c r="G3" s="6" t="inlineStr">
        <is>
          <t>% of FY</t>
        </is>
      </c>
    </row>
    <row r="4">
      <c r="A4" t="inlineStr">
        <is>
          <t>Gross revenue</t>
        </is>
      </c>
      <c r="B4" s="11" t="n">
        <v>320000</v>
      </c>
      <c r="C4" s="11" t="n">
        <v>351000</v>
      </c>
      <c r="D4" s="11" t="n">
        <v>372500</v>
      </c>
      <c r="E4" s="11" t="n">
        <v>410000</v>
      </c>
      <c r="F4" s="11">
        <f>SUM(B4:E4)</f>
        <v/>
      </c>
      <c r="G4" s="12">
        <f>IF($F$7=0,0,F4/$F$7)</f>
        <v/>
      </c>
    </row>
    <row r="5">
      <c r="A5" t="inlineStr">
        <is>
          <t>Discounts</t>
        </is>
      </c>
      <c r="B5" s="11" t="n">
        <v>-38400</v>
      </c>
      <c r="C5" s="11" t="n">
        <v>-42120</v>
      </c>
      <c r="D5" s="11" t="n">
        <v>-44700</v>
      </c>
      <c r="E5" s="11" t="n">
        <v>-49200</v>
      </c>
      <c r="F5" s="11">
        <f>SUM(B5:E5)</f>
        <v/>
      </c>
      <c r="G5" s="12">
        <f>IF($F$7=0,0,F5/$F$7)</f>
        <v/>
      </c>
    </row>
    <row r="6">
      <c r="A6" t="inlineStr">
        <is>
          <t>Returns</t>
        </is>
      </c>
      <c r="B6" s="11" t="n">
        <v>-9600</v>
      </c>
      <c r="C6" s="11" t="n">
        <v>-10530</v>
      </c>
      <c r="D6" s="11" t="n">
        <v>-11175</v>
      </c>
      <c r="E6" s="11" t="n">
        <v>-12300</v>
      </c>
      <c r="F6" s="11">
        <f>SUM(B6:E6)</f>
        <v/>
      </c>
      <c r="G6" s="12">
        <f>IF($F$7=0,0,F6/$F$7)</f>
        <v/>
      </c>
    </row>
    <row r="7">
      <c r="A7" t="inlineStr">
        <is>
          <t>Net revenue</t>
        </is>
      </c>
      <c r="B7" s="11">
        <f>SUM(B4:B6)</f>
        <v/>
      </c>
      <c r="C7" s="11">
        <f>SUM(C4:C6)</f>
        <v/>
      </c>
      <c r="D7" s="11">
        <f>SUM(D4:D6)</f>
        <v/>
      </c>
      <c r="E7" s="11">
        <f>SUM(E4:E6)</f>
        <v/>
      </c>
      <c r="F7" s="11">
        <f>SUM(B7:E7)</f>
        <v/>
      </c>
      <c r="G7" s="12">
        <f>IF($F$7=0,0,F7/$F$7)</f>
        <v/>
      </c>
    </row>
    <row r="9">
      <c r="A9" t="inlineStr">
        <is>
          <t>Subtotal (visible)</t>
        </is>
      </c>
      <c r="F9" s="11">
        <f>SUBTOTAL(9,F4:F6)</f>
        <v/>
      </c>
    </row>
  </sheetData>
  <conditionalFormatting sqref="B4:E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7">
    <cfRule type="cellIs" priority="2" operator="greaterThan" dxfId="0">
      <formula>0.5</formula>
    </cfRule>
  </conditionalFormatting>
  <conditionalFormatting sqref="F4:F6">
    <cfRule type="expression" priority="3" dxfId="1">
      <formula>F4&lt;0</formula>
    </cfRule>
  </conditionalFormatting>
  <pageMargins left="0.75" right="0.75" top="1" bottom="1" header="0.5" footer="0.5"/>
  <pageSetup orientation="landscape" fitToHeight="1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5" t="inlineStr">
        <is>
          <t>Executive Summary</t>
        </is>
      </c>
    </row>
    <row r="3">
      <c r="A3" s="6" t="inlineStr">
        <is>
          <t>Metric</t>
        </is>
      </c>
      <c r="B3" s="6" t="inlineStr">
        <is>
          <t>Value</t>
        </is>
      </c>
    </row>
    <row r="4">
      <c r="A4" t="inlineStr">
        <is>
          <t>FY net revenue</t>
        </is>
      </c>
      <c r="B4" s="11">
        <f>Model!F7</f>
        <v/>
      </c>
    </row>
    <row r="5">
      <c r="A5" t="inlineStr">
        <is>
          <t>Units sold (input)</t>
        </is>
      </c>
      <c r="B5" s="11">
        <f>Inputs!B4</f>
        <v/>
      </c>
    </row>
    <row r="6">
      <c r="A6" t="inlineStr">
        <is>
          <t>Unit price (input)</t>
        </is>
      </c>
      <c r="B6" s="9">
        <f>Inputs!B5</f>
        <v/>
      </c>
    </row>
    <row r="7">
      <c r="A7" t="inlineStr">
        <is>
          <t>Implied gross</t>
        </is>
      </c>
      <c r="B7" s="9">
        <f>Inputs!B4*Inputs!B5</f>
        <v/>
      </c>
    </row>
    <row r="8">
      <c r="A8" t="inlineStr">
        <is>
          <t>Net margin</t>
        </is>
      </c>
      <c r="B8" s="10">
        <f>IF(B7=0,0,B4/B7)</f>
        <v/>
      </c>
    </row>
    <row r="9">
      <c r="A9" t="inlineStr">
        <is>
          <t>Headline KPI</t>
        </is>
      </c>
      <c r="B9" t="inlineStr">
        <is>
          <t>85% net margin on $1.45M gross</t>
        </is>
      </c>
    </row>
  </sheetData>
  <pageMargins left="0.75" right="0.75" top="1" bottom="1" header="0.5" footer="0.5"/>
  <pageSetup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6" customWidth="1" min="4" max="4"/>
  </cols>
  <sheetData>
    <row r="1">
      <c r="A1" s="6" t="inlineStr">
        <is>
          <t>Date</t>
        </is>
      </c>
      <c r="B1" s="6" t="inlineStr">
        <is>
          <t>Region</t>
        </is>
      </c>
      <c r="C1" s="6" t="inlineStr">
        <is>
          <t>Product</t>
        </is>
      </c>
      <c r="D1" s="6" t="inlineStr">
        <is>
          <t>Amount</t>
        </is>
      </c>
    </row>
    <row r="2">
      <c r="A2" s="3" t="inlineStr">
        <is>
          <t>2025-10-01</t>
        </is>
      </c>
      <c r="B2" t="inlineStr">
        <is>
          <t>North</t>
        </is>
      </c>
      <c r="C2" t="inlineStr">
        <is>
          <t>Widget</t>
        </is>
      </c>
      <c r="D2" s="13" t="n">
        <v>12500</v>
      </c>
    </row>
    <row r="3">
      <c r="A3" s="3" t="inlineStr">
        <is>
          <t>2025-10-02</t>
        </is>
      </c>
      <c r="B3" t="inlineStr">
        <is>
          <t>South</t>
        </is>
      </c>
      <c r="C3" t="inlineStr">
        <is>
          <t>Gadget</t>
        </is>
      </c>
      <c r="D3" s="13" t="n">
        <v>9800</v>
      </c>
    </row>
    <row r="4">
      <c r="A4" s="3" t="inlineStr">
        <is>
          <t>2025-10-03</t>
        </is>
      </c>
      <c r="B4" t="inlineStr">
        <is>
          <t>East</t>
        </is>
      </c>
      <c r="C4" t="inlineStr">
        <is>
          <t>Widget</t>
        </is>
      </c>
      <c r="D4" s="13" t="n">
        <v>14200</v>
      </c>
    </row>
    <row r="5">
      <c r="C5" t="inlineStr">
        <is>
          <t>Total</t>
        </is>
      </c>
      <c r="D5" s="11">
        <f>SUM(D2:D4)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2026-06-05T00:00:00Z</dcterms:created>
  <dcterms:modified xmlns:dcterms="http://purl.org/dc/terms/" xmlns:xsi="http://www.w3.org/2001/XMLSchema-instance" xsi:type="dcterms:W3CDTF">2026-06-05T00:00:00Z</dcterms:modified>
</cp:coreProperties>
</file>